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comparatif" sheetId="1" state="visible" r:id="rId1"/>
    <sheet name="Répartition par catégorie" sheetId="2" state="visible" r:id="rId2"/>
    <sheet name="Mouvements détaillé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#,##0;-#,##0"/>
    <numFmt numFmtId="165" formatCode="+0.0%;-0.0%"/>
    <numFmt numFmtId="166" formatCode="0.0%"/>
    <numFmt numFmtId="167" formatCode="+0.0;-0.0"/>
  </numFmts>
  <fonts count="13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i val="1"/>
      <color rgb="00666666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8"/>
      <sz val="10"/>
    </font>
    <font>
      <name val="Arial"/>
      <i val="1"/>
      <color rgb="00888888"/>
      <sz val="9"/>
    </font>
    <font>
      <name val="Arial"/>
      <b val="1"/>
      <color rgb="001F4E78"/>
      <sz val="13"/>
    </font>
    <font>
      <name val="Arial"/>
      <b val="1"/>
      <color rgb="00FFFFFF"/>
      <sz val="9"/>
    </font>
    <font>
      <name val="Arial"/>
      <b val="1"/>
      <color rgb="001F4E78"/>
      <sz val="10.5"/>
    </font>
    <font>
      <name val="Arial"/>
      <b val="1"/>
      <color rgb="00B3352C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0" fontId="6" fillId="0" borderId="1" pivotButton="0" quotePrefix="0" xfId="0"/>
    <xf numFmtId="166" fontId="7" fillId="3" borderId="1" applyAlignment="1" pivotButton="0" quotePrefix="0" xfId="0">
      <alignment horizontal="center"/>
    </xf>
    <xf numFmtId="167" fontId="5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7" fillId="0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ALBARKA — ÉTUDE COMPARATIVE</t>
        </is>
      </c>
    </row>
    <row r="2">
      <c r="A2" s="2" t="inlineStr">
        <is>
          <t>Comparaison 17/08/2026 vs 17/08/2026</t>
        </is>
      </c>
    </row>
    <row r="4">
      <c r="A4" s="3" t="inlineStr">
        <is>
          <t>RÉPARTITION PAR STATUT — GLOBAL</t>
        </is>
      </c>
    </row>
    <row r="5">
      <c r="A5" s="4" t="inlineStr">
        <is>
          <t>Statut</t>
        </is>
      </c>
      <c r="B5" s="4" t="inlineStr">
        <is>
          <t>17/08/2026</t>
        </is>
      </c>
      <c r="C5" s="4" t="inlineStr">
        <is>
          <t>17/08/2026</t>
        </is>
      </c>
      <c r="D5" s="4" t="inlineStr">
        <is>
          <t>Évolution</t>
        </is>
      </c>
      <c r="E5" s="4" t="inlineStr">
        <is>
          <t>Évolution %</t>
        </is>
      </c>
    </row>
    <row r="6">
      <c r="A6" s="5" t="inlineStr">
        <is>
          <t>Total agents (base)</t>
        </is>
      </c>
      <c r="B6" s="6" t="n">
        <v>672</v>
      </c>
      <c r="C6" s="6" t="n">
        <v>673</v>
      </c>
      <c r="D6" s="7">
        <f>C6-B6</f>
        <v/>
      </c>
      <c r="E6" s="8">
        <f>IF(B6=0,"",(C6-B6)/B6)</f>
        <v/>
      </c>
    </row>
    <row r="7">
      <c r="A7" s="9" t="inlineStr">
        <is>
          <t>Sans QR Code</t>
        </is>
      </c>
      <c r="B7" s="6" t="n">
        <v>194</v>
      </c>
      <c r="C7" s="6" t="n">
        <v>194</v>
      </c>
      <c r="D7" s="7">
        <f>C7-B7</f>
        <v/>
      </c>
      <c r="E7" s="8">
        <f>IF(B7=0,"",(C7-B7)/B7)</f>
        <v/>
      </c>
    </row>
    <row r="8">
      <c r="A8" s="9" t="inlineStr">
        <is>
          <t>QR reçu, non utilisé (+30j)</t>
        </is>
      </c>
      <c r="B8" s="6" t="n">
        <v>146</v>
      </c>
      <c r="C8" s="6" t="n">
        <v>146</v>
      </c>
      <c r="D8" s="7">
        <f>C8-B8</f>
        <v/>
      </c>
      <c r="E8" s="8">
        <f>IF(B8=0,"",(C8-B8)/B8)</f>
        <v/>
      </c>
    </row>
    <row r="9">
      <c r="A9" s="9" t="inlineStr">
        <is>
          <t>Risque d'inactivité (20-29j)</t>
        </is>
      </c>
      <c r="B9" s="6" t="n">
        <v>80</v>
      </c>
      <c r="C9" s="6" t="n">
        <v>60</v>
      </c>
      <c r="D9" s="7">
        <f>C9-B9</f>
        <v/>
      </c>
      <c r="E9" s="8">
        <f>IF(B9=0,"",(C9-B9)/B9)</f>
        <v/>
      </c>
    </row>
    <row r="10">
      <c r="A10" s="9" t="inlineStr">
        <is>
          <t>QR actifs (utilisés &lt; 20j)</t>
        </is>
      </c>
      <c r="B10" s="6" t="n">
        <v>252</v>
      </c>
      <c r="C10" s="6" t="n">
        <v>273</v>
      </c>
      <c r="D10" s="7">
        <f>C10-B10</f>
        <v/>
      </c>
      <c r="E10" s="8">
        <f>IF(B10=0,"",(C10-B10)/B10)</f>
        <v/>
      </c>
    </row>
    <row r="12">
      <c r="A12" s="3" t="inlineStr">
        <is>
          <t>INDICATEURS CLÉS GLOBAUX</t>
        </is>
      </c>
    </row>
    <row r="13">
      <c r="A13" s="4" t="inlineStr">
        <is>
          <t>Indicateur</t>
        </is>
      </c>
      <c r="B13" s="4" t="inlineStr">
        <is>
          <t>17/08/2026</t>
        </is>
      </c>
      <c r="C13" s="4" t="inlineStr">
        <is>
          <t>17/08/2026</t>
        </is>
      </c>
      <c r="D13" s="4" t="inlineStr">
        <is>
          <t>Évolution (pts)</t>
        </is>
      </c>
    </row>
    <row r="14">
      <c r="A14" s="9" t="inlineStr">
        <is>
          <t>Taux de déploiement QR Code (QR distribués / total agents)</t>
        </is>
      </c>
      <c r="B14" s="10">
        <f>1-B7/B6</f>
        <v/>
      </c>
      <c r="C14" s="10">
        <f>1-C7/C6</f>
        <v/>
      </c>
      <c r="D14" s="11">
        <f>(C14-B14)*100</f>
        <v/>
      </c>
    </row>
    <row r="15">
      <c r="A15" s="9" t="inlineStr">
        <is>
          <t>Taux d'utilisation parmi les QR déployés (actifs / QR déployés)</t>
        </is>
      </c>
      <c r="B15" s="10">
        <f>B10/(B6-B7)</f>
        <v/>
      </c>
      <c r="C15" s="10">
        <f>C10/(C6-C7)</f>
        <v/>
      </c>
      <c r="D15" s="11">
        <f>(C15-B15)*100</f>
        <v/>
      </c>
    </row>
    <row r="16">
      <c r="A16" s="9" t="inlineStr">
        <is>
          <t>Taux de QR déployés mais non utilisés (+30j) / QR déployés</t>
        </is>
      </c>
      <c r="B16" s="10">
        <f>B8/(B6-B7)</f>
        <v/>
      </c>
      <c r="C16" s="10">
        <f>C8/(C6-C7)</f>
        <v/>
      </c>
      <c r="D16" s="11">
        <f>(C16-B16)*100</f>
        <v/>
      </c>
    </row>
    <row r="17">
      <c r="A17" s="9" t="inlineStr">
        <is>
          <t>Taux de risque d'inactivité (/ total agents)</t>
        </is>
      </c>
      <c r="B17" s="10">
        <f>B9/B6</f>
        <v/>
      </c>
      <c r="C17" s="10">
        <f>C9/C6</f>
        <v/>
      </c>
      <c r="D17" s="11">
        <f>(C17-B17)*100</f>
        <v/>
      </c>
    </row>
    <row r="18">
      <c r="A18" s="9" t="inlineStr">
        <is>
          <t>Part des agents sans QR Code sur le total</t>
        </is>
      </c>
      <c r="B18" s="10">
        <f>B7/B6</f>
        <v/>
      </c>
      <c r="C18" s="10">
        <f>C7/C6</f>
        <v/>
      </c>
      <c r="D18" s="11">
        <f>(C18-B18)*100</f>
        <v/>
      </c>
    </row>
    <row r="20">
      <c r="A20" s="12" t="inlineStr">
        <is>
          <t>Note : le détail par catégorie figure dans l'onglet "Répartition par catégorie". Les mouvements agent par agent figurent dans l'onglet "Mouvements détaillés".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3" t="inlineStr">
        <is>
          <t>RÉPARTITION PAR CATÉGORIE</t>
        </is>
      </c>
    </row>
    <row r="2">
      <c r="A2" s="2" t="inlineStr">
        <is>
          <t>Comparaison 17/08/2026 vs 17/08/2026</t>
        </is>
      </c>
    </row>
    <row r="4">
      <c r="A4" s="3" t="inlineStr">
        <is>
          <t>1-HVC</t>
        </is>
      </c>
    </row>
    <row r="5">
      <c r="A5" s="14" t="inlineStr">
        <is>
          <t>Statut</t>
        </is>
      </c>
      <c r="B5" s="14" t="inlineStr">
        <is>
          <t>17/08/2026</t>
        </is>
      </c>
      <c r="C5" s="14" t="inlineStr">
        <is>
          <t>17/08/2026</t>
        </is>
      </c>
      <c r="D5" s="14" t="inlineStr">
        <is>
          <t>Évolution</t>
        </is>
      </c>
    </row>
    <row r="6">
      <c r="A6" s="5" t="inlineStr">
        <is>
          <t>Total agents (base)</t>
        </is>
      </c>
      <c r="B6" s="6" t="n">
        <v>49</v>
      </c>
      <c r="C6" s="6" t="n">
        <v>49</v>
      </c>
      <c r="D6" s="7">
        <f>C6-B6</f>
        <v/>
      </c>
    </row>
    <row r="7">
      <c r="A7" s="9" t="inlineStr">
        <is>
          <t>Sans QR Code</t>
        </is>
      </c>
      <c r="B7" s="6" t="n">
        <v>1</v>
      </c>
      <c r="C7" s="6" t="n">
        <v>1</v>
      </c>
      <c r="D7" s="7">
        <f>C7-B7</f>
        <v/>
      </c>
    </row>
    <row r="8">
      <c r="A8" s="9" t="inlineStr">
        <is>
          <t>QR reçu, non utilisé (+30j)</t>
        </is>
      </c>
      <c r="B8" s="6" t="n">
        <v>4</v>
      </c>
      <c r="C8" s="6" t="n">
        <v>6</v>
      </c>
      <c r="D8" s="7">
        <f>C8-B8</f>
        <v/>
      </c>
    </row>
    <row r="9">
      <c r="A9" s="9" t="inlineStr">
        <is>
          <t>Risque d'inactivité (20-29j)</t>
        </is>
      </c>
      <c r="B9" s="6" t="n">
        <v>5</v>
      </c>
      <c r="C9" s="6" t="n">
        <v>2</v>
      </c>
      <c r="D9" s="7">
        <f>C9-B9</f>
        <v/>
      </c>
    </row>
    <row r="10">
      <c r="A10" s="9" t="inlineStr">
        <is>
          <t>QR actifs (utilisés &lt; 20j)</t>
        </is>
      </c>
      <c r="B10" s="6" t="n">
        <v>39</v>
      </c>
      <c r="C10" s="6" t="n">
        <v>40</v>
      </c>
      <c r="D10" s="7">
        <f>C10-B10</f>
        <v/>
      </c>
    </row>
    <row r="12">
      <c r="A12" s="3" t="inlineStr">
        <is>
          <t>2-MVC</t>
        </is>
      </c>
    </row>
    <row r="13">
      <c r="A13" s="14" t="inlineStr">
        <is>
          <t>Statut</t>
        </is>
      </c>
      <c r="B13" s="14" t="inlineStr">
        <is>
          <t>17/08/2026</t>
        </is>
      </c>
      <c r="C13" s="14" t="inlineStr">
        <is>
          <t>17/08/2026</t>
        </is>
      </c>
      <c r="D13" s="14" t="inlineStr">
        <is>
          <t>Évolution</t>
        </is>
      </c>
    </row>
    <row r="14">
      <c r="A14" s="5" t="inlineStr">
        <is>
          <t>Total agents (base)</t>
        </is>
      </c>
      <c r="B14" s="6" t="n">
        <v>268</v>
      </c>
      <c r="C14" s="6" t="n">
        <v>268</v>
      </c>
      <c r="D14" s="7">
        <f>C14-B14</f>
        <v/>
      </c>
    </row>
    <row r="15">
      <c r="A15" s="9" t="inlineStr">
        <is>
          <t>Sans QR Code</t>
        </is>
      </c>
      <c r="B15" s="6" t="n">
        <v>19</v>
      </c>
      <c r="C15" s="6" t="n">
        <v>19</v>
      </c>
      <c r="D15" s="7">
        <f>C15-B15</f>
        <v/>
      </c>
    </row>
    <row r="16">
      <c r="A16" s="9" t="inlineStr">
        <is>
          <t>QR reçu, non utilisé (+30j)</t>
        </is>
      </c>
      <c r="B16" s="6" t="n">
        <v>42</v>
      </c>
      <c r="C16" s="6" t="n">
        <v>39</v>
      </c>
      <c r="D16" s="7">
        <f>C16-B16</f>
        <v/>
      </c>
    </row>
    <row r="17">
      <c r="A17" s="9" t="inlineStr">
        <is>
          <t>Risque d'inactivité (20-29j)</t>
        </is>
      </c>
      <c r="B17" s="6" t="n">
        <v>41</v>
      </c>
      <c r="C17" s="6" t="n">
        <v>29</v>
      </c>
      <c r="D17" s="7">
        <f>C17-B17</f>
        <v/>
      </c>
    </row>
    <row r="18">
      <c r="A18" s="9" t="inlineStr">
        <is>
          <t>QR actifs (utilisés &lt; 20j)</t>
        </is>
      </c>
      <c r="B18" s="6" t="n">
        <v>166</v>
      </c>
      <c r="C18" s="6" t="n">
        <v>181</v>
      </c>
      <c r="D18" s="7">
        <f>C18-B18</f>
        <v/>
      </c>
    </row>
    <row r="20">
      <c r="A20" s="3" t="inlineStr">
        <is>
          <t>3-LVC</t>
        </is>
      </c>
    </row>
    <row r="21">
      <c r="A21" s="14" t="inlineStr">
        <is>
          <t>Statut</t>
        </is>
      </c>
      <c r="B21" s="14" t="inlineStr">
        <is>
          <t>17/08/2026</t>
        </is>
      </c>
      <c r="C21" s="14" t="inlineStr">
        <is>
          <t>17/08/2026</t>
        </is>
      </c>
      <c r="D21" s="14" t="inlineStr">
        <is>
          <t>Évolution</t>
        </is>
      </c>
    </row>
    <row r="22">
      <c r="A22" s="5" t="inlineStr">
        <is>
          <t>Total agents (base)</t>
        </is>
      </c>
      <c r="B22" s="6" t="n">
        <v>355</v>
      </c>
      <c r="C22" s="6" t="n">
        <v>356</v>
      </c>
      <c r="D22" s="7">
        <f>C22-B22</f>
        <v/>
      </c>
    </row>
    <row r="23">
      <c r="A23" s="9" t="inlineStr">
        <is>
          <t>Sans QR Code</t>
        </is>
      </c>
      <c r="B23" s="6" t="n">
        <v>174</v>
      </c>
      <c r="C23" s="6" t="n">
        <v>174</v>
      </c>
      <c r="D23" s="7">
        <f>C23-B23</f>
        <v/>
      </c>
    </row>
    <row r="24">
      <c r="A24" s="9" t="inlineStr">
        <is>
          <t>QR reçu, non utilisé (+30j)</t>
        </is>
      </c>
      <c r="B24" s="6" t="n">
        <v>100</v>
      </c>
      <c r="C24" s="6" t="n">
        <v>101</v>
      </c>
      <c r="D24" s="7">
        <f>C24-B24</f>
        <v/>
      </c>
    </row>
    <row r="25">
      <c r="A25" s="9" t="inlineStr">
        <is>
          <t>Risque d'inactivité (20-29j)</t>
        </is>
      </c>
      <c r="B25" s="6" t="n">
        <v>34</v>
      </c>
      <c r="C25" s="6" t="n">
        <v>29</v>
      </c>
      <c r="D25" s="7">
        <f>C25-B25</f>
        <v/>
      </c>
    </row>
    <row r="26">
      <c r="A26" s="9" t="inlineStr">
        <is>
          <t>QR actifs (utilisés &lt; 20j)</t>
        </is>
      </c>
      <c r="B26" s="6" t="n">
        <v>47</v>
      </c>
      <c r="C26" s="6" t="n">
        <v>52</v>
      </c>
      <c r="D26" s="7">
        <f>C26-B26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2" customWidth="1" min="4" max="4"/>
    <col width="10" customWidth="1" min="5" max="5"/>
    <col width="18" customWidth="1" min="6" max="6"/>
    <col width="20" customWidth="1" min="7" max="7"/>
  </cols>
  <sheetData>
    <row r="1">
      <c r="A1" s="13" t="inlineStr">
        <is>
          <t>MOUVEMENTS DÉTAILLÉS PAR AGENT</t>
        </is>
      </c>
    </row>
    <row r="2">
      <c r="A2" s="2" t="inlineStr">
        <is>
          <t>Entrées et sorties de chaque liste entre le 17/08/2026 et le 17/08/2026</t>
        </is>
      </c>
    </row>
    <row r="4">
      <c r="A4" s="15" t="inlineStr">
        <is>
          <t>2.1-HVC-QR non utilisé  (entrées : 2  |  sorties : 0)</t>
        </is>
      </c>
    </row>
    <row r="5">
      <c r="A5" s="14" t="inlineStr">
        <is>
          <t>Mouvement</t>
        </is>
      </c>
      <c r="B5" s="14" t="inlineStr">
        <is>
          <t>Agent (POS)</t>
        </is>
      </c>
      <c r="C5" s="14" t="inlineStr">
        <is>
          <t>Téléphone</t>
        </is>
      </c>
      <c r="D5" s="14" t="inlineStr">
        <is>
          <t>DSM</t>
        </is>
      </c>
      <c r="E5" s="14" t="inlineStr">
        <is>
          <t>Région</t>
        </is>
      </c>
      <c r="F5" s="14" t="inlineStr">
        <is>
          <t>Territoire</t>
        </is>
      </c>
      <c r="G5" s="14" t="inlineStr">
        <is>
          <t>Site</t>
        </is>
      </c>
    </row>
    <row r="6">
      <c r="A6" s="16" t="inlineStr">
        <is>
          <t>Entrée</t>
        </is>
      </c>
      <c r="B6" s="9" t="inlineStr">
        <is>
          <t>DEMBA DIALLO</t>
        </is>
      </c>
      <c r="C6" s="9" t="n">
        <v>670079395</v>
      </c>
      <c r="D6" s="9" t="inlineStr">
        <is>
          <t xml:space="preserve">PARFAIT </t>
        </is>
      </c>
      <c r="E6" s="9" t="inlineStr">
        <is>
          <t>Littoral</t>
        </is>
      </c>
      <c r="F6" s="9" t="inlineStr">
        <is>
          <t>DOUALA BONANJO</t>
        </is>
      </c>
      <c r="G6" s="9" t="inlineStr">
        <is>
          <t>Douala Bali</t>
        </is>
      </c>
    </row>
    <row r="7">
      <c r="A7" s="16" t="inlineStr">
        <is>
          <t>Entrée</t>
        </is>
      </c>
      <c r="B7" s="9" t="inlineStr">
        <is>
          <t>TOP MOBIL TELECOM TCHOKOUHA epse NDOUMBE ROSE NICOLE</t>
        </is>
      </c>
      <c r="C7" s="9" t="n">
        <v>681155723</v>
      </c>
      <c r="D7" s="9" t="inlineStr">
        <is>
          <t xml:space="preserve">PARFAIT </t>
        </is>
      </c>
      <c r="E7" s="9" t="inlineStr">
        <is>
          <t>Littoral</t>
        </is>
      </c>
      <c r="F7" s="9" t="inlineStr">
        <is>
          <t>DOUALA BONANJO</t>
        </is>
      </c>
      <c r="G7" s="9" t="inlineStr">
        <is>
          <t>Lycee Kumassi</t>
        </is>
      </c>
    </row>
    <row r="9">
      <c r="A9" s="15" t="inlineStr">
        <is>
          <t>2.2-MVC-QR non utilisé  (entrées : 1  |  sorties : 4)</t>
        </is>
      </c>
    </row>
    <row r="10">
      <c r="A10" s="14" t="inlineStr">
        <is>
          <t>Mouvement</t>
        </is>
      </c>
      <c r="B10" s="14" t="inlineStr">
        <is>
          <t>Agent (POS)</t>
        </is>
      </c>
      <c r="C10" s="14" t="inlineStr">
        <is>
          <t>Téléphone</t>
        </is>
      </c>
      <c r="D10" s="14" t="inlineStr">
        <is>
          <t>DSM</t>
        </is>
      </c>
      <c r="E10" s="14" t="inlineStr">
        <is>
          <t>Région</t>
        </is>
      </c>
      <c r="F10" s="14" t="inlineStr">
        <is>
          <t>Territoire</t>
        </is>
      </c>
      <c r="G10" s="14" t="inlineStr">
        <is>
          <t>Site</t>
        </is>
      </c>
    </row>
    <row r="11">
      <c r="A11" s="16" t="inlineStr">
        <is>
          <t>Entrée</t>
        </is>
      </c>
      <c r="B11" s="9" t="inlineStr">
        <is>
          <t>WINNIE VANESSA MINGO BOUADJEU</t>
        </is>
      </c>
      <c r="C11" s="9" t="n">
        <v>683620457</v>
      </c>
      <c r="D11" s="9" t="inlineStr">
        <is>
          <t>ERVE</t>
        </is>
      </c>
      <c r="E11" s="9" t="inlineStr">
        <is>
          <t>Littoral</t>
        </is>
      </c>
      <c r="F11" s="9" t="inlineStr">
        <is>
          <t>DOUALA BONANJO</t>
        </is>
      </c>
      <c r="G11" s="9" t="inlineStr">
        <is>
          <t>Douala Bali</t>
        </is>
      </c>
    </row>
    <row r="12">
      <c r="A12" s="17" t="inlineStr">
        <is>
          <t>Sortie</t>
        </is>
      </c>
      <c r="B12" s="9" t="inlineStr">
        <is>
          <t>VICTOIRE DESIREE NANA</t>
        </is>
      </c>
      <c r="C12" s="9" t="n">
        <v>671355071</v>
      </c>
      <c r="D12" s="9" t="inlineStr">
        <is>
          <t xml:space="preserve">PARFAIT </t>
        </is>
      </c>
      <c r="E12" s="9" t="inlineStr">
        <is>
          <t>Littoral</t>
        </is>
      </c>
      <c r="F12" s="9" t="inlineStr">
        <is>
          <t>DOUALA BONANJO</t>
        </is>
      </c>
      <c r="G12" s="9" t="inlineStr">
        <is>
          <t>Douala Bali2</t>
        </is>
      </c>
    </row>
    <row r="13">
      <c r="A13" s="17" t="inlineStr">
        <is>
          <t>Sortie</t>
        </is>
      </c>
      <c r="B13" s="9" t="inlineStr">
        <is>
          <t>CHRISTELLE NINA YANZE</t>
        </is>
      </c>
      <c r="C13" s="9" t="n">
        <v>672766049</v>
      </c>
      <c r="D13" s="9" t="inlineStr">
        <is>
          <t>FRANCK</t>
        </is>
      </c>
      <c r="E13" s="9" t="inlineStr">
        <is>
          <t>Littoral</t>
        </is>
      </c>
      <c r="F13" s="9" t="inlineStr">
        <is>
          <t>DOUALA BONANJO</t>
        </is>
      </c>
      <c r="G13" s="9" t="inlineStr">
        <is>
          <t>Bonanjo La Falaise</t>
        </is>
      </c>
    </row>
    <row r="14">
      <c r="A14" s="17" t="inlineStr">
        <is>
          <t>Sortie</t>
        </is>
      </c>
      <c r="B14" s="9" t="inlineStr">
        <is>
          <t>CCC PLC DOUALA LIBERTE</t>
        </is>
      </c>
      <c r="C14" s="9" t="n">
        <v>676945898</v>
      </c>
      <c r="D14" s="9" t="inlineStr">
        <is>
          <t>STEPHANE</t>
        </is>
      </c>
      <c r="E14" s="9" t="inlineStr">
        <is>
          <t>Littoral</t>
        </is>
      </c>
      <c r="F14" s="9" t="inlineStr">
        <is>
          <t>DOUALA BONANJO</t>
        </is>
      </c>
      <c r="G14" s="9" t="inlineStr">
        <is>
          <t>Akwa Camtel New</t>
        </is>
      </c>
    </row>
    <row r="15">
      <c r="A15" s="17" t="inlineStr">
        <is>
          <t>Sortie</t>
        </is>
      </c>
      <c r="B15" s="9" t="inlineStr">
        <is>
          <t>PATIENCE FULAI AKEM EPOUSE MBUKECHUA</t>
        </is>
      </c>
      <c r="C15" s="9" t="n">
        <v>670390942</v>
      </c>
      <c r="D15" s="9" t="inlineStr">
        <is>
          <t> </t>
        </is>
      </c>
      <c r="E15" s="9" t="inlineStr">
        <is>
          <t>Littoral</t>
        </is>
      </c>
      <c r="F15" s="9" t="inlineStr">
        <is>
          <t>DOUALA BONANJO</t>
        </is>
      </c>
      <c r="G15" s="9" t="inlineStr">
        <is>
          <t>Avenue De Gaulle Ocm</t>
        </is>
      </c>
    </row>
    <row r="17">
      <c r="A17" s="15" t="inlineStr">
        <is>
          <t>2.3-LVC-QR non utilisé  (entrées : 2  |  sorties : 1)</t>
        </is>
      </c>
    </row>
    <row r="18">
      <c r="A18" s="14" t="inlineStr">
        <is>
          <t>Mouvement</t>
        </is>
      </c>
      <c r="B18" s="14" t="inlineStr">
        <is>
          <t>Agent (POS)</t>
        </is>
      </c>
      <c r="C18" s="14" t="inlineStr">
        <is>
          <t>Téléphone</t>
        </is>
      </c>
      <c r="D18" s="14" t="inlineStr">
        <is>
          <t>DSM</t>
        </is>
      </c>
      <c r="E18" s="14" t="inlineStr">
        <is>
          <t>Région</t>
        </is>
      </c>
      <c r="F18" s="14" t="inlineStr">
        <is>
          <t>Territoire</t>
        </is>
      </c>
      <c r="G18" s="14" t="inlineStr">
        <is>
          <t>Site</t>
        </is>
      </c>
    </row>
    <row r="19">
      <c r="A19" s="16" t="inlineStr">
        <is>
          <t>Entrée</t>
        </is>
      </c>
      <c r="B19" s="9" t="inlineStr">
        <is>
          <t>GUAMGNE FOTSO FLORINE CARIDE TOP MOBIL TELECOM</t>
        </is>
      </c>
      <c r="C19" s="9" t="n">
        <v>677190844</v>
      </c>
      <c r="D19" s="9" t="inlineStr">
        <is>
          <t>STEPHANE</t>
        </is>
      </c>
      <c r="E19" s="9" t="inlineStr">
        <is>
          <t>Littoral</t>
        </is>
      </c>
      <c r="F19" s="9" t="inlineStr">
        <is>
          <t>DOUALA VILLAGE</t>
        </is>
      </c>
      <c r="G19" s="9" t="inlineStr">
        <is>
          <t>Ndogpassi 3 Ocm</t>
        </is>
      </c>
    </row>
    <row r="20">
      <c r="A20" s="16" t="inlineStr">
        <is>
          <t>Entrée</t>
        </is>
      </c>
      <c r="B20" s="9" t="inlineStr">
        <is>
          <t>ASSONGFACK Diane nudo flore _CHIC MOBILE</t>
        </is>
      </c>
      <c r="C20" s="9" t="n">
        <v>651590527</v>
      </c>
      <c r="D20" s="9" t="inlineStr">
        <is>
          <t> </t>
        </is>
      </c>
      <c r="E20" s="9" t="inlineStr">
        <is>
          <t>Littoral</t>
        </is>
      </c>
      <c r="F20" s="9" t="inlineStr">
        <is>
          <t>DOUALA NYALLA</t>
        </is>
      </c>
      <c r="G20" s="9" t="inlineStr">
        <is>
          <t>Yatchieka Chefferie</t>
        </is>
      </c>
    </row>
    <row r="21">
      <c r="A21" s="17" t="inlineStr">
        <is>
          <t>Sortie</t>
        </is>
      </c>
      <c r="B21" s="9" t="inlineStr">
        <is>
          <t>LUCAS DE KELECK</t>
        </is>
      </c>
      <c r="C21" s="9" t="n">
        <v>677360546</v>
      </c>
      <c r="D21" s="9" t="inlineStr">
        <is>
          <t xml:space="preserve">PARFAIT </t>
        </is>
      </c>
      <c r="E21" s="9" t="inlineStr">
        <is>
          <t>Littoral</t>
        </is>
      </c>
      <c r="F21" s="9" t="inlineStr">
        <is>
          <t>DOUALA BONAMOUSSADI</t>
        </is>
      </c>
      <c r="G21" s="9" t="inlineStr">
        <is>
          <t>Missoke Market</t>
        </is>
      </c>
    </row>
    <row r="23">
      <c r="A23" s="15" t="inlineStr">
        <is>
          <t>3.1-HVC-Risque inactivité  (entrées : 0  |  sorties : 3)</t>
        </is>
      </c>
    </row>
    <row r="24">
      <c r="A24" s="14" t="inlineStr">
        <is>
          <t>Mouvement</t>
        </is>
      </c>
      <c r="B24" s="14" t="inlineStr">
        <is>
          <t>Agent (POS)</t>
        </is>
      </c>
      <c r="C24" s="14" t="inlineStr">
        <is>
          <t>Téléphone</t>
        </is>
      </c>
      <c r="D24" s="14" t="inlineStr">
        <is>
          <t>DSM</t>
        </is>
      </c>
      <c r="E24" s="14" t="inlineStr">
        <is>
          <t>Région</t>
        </is>
      </c>
      <c r="F24" s="14" t="inlineStr">
        <is>
          <t>Territoire</t>
        </is>
      </c>
      <c r="G24" s="14" t="inlineStr">
        <is>
          <t>Site</t>
        </is>
      </c>
    </row>
    <row r="25">
      <c r="A25" s="17" t="inlineStr">
        <is>
          <t>Sortie</t>
        </is>
      </c>
      <c r="B25" s="9" t="inlineStr">
        <is>
          <t>TOP MOBIL TELECOM TCHOKOUHA epse NDOUMBE ROSE NICOLE</t>
        </is>
      </c>
      <c r="C25" s="9" t="n">
        <v>681155723</v>
      </c>
      <c r="D25" s="9" t="inlineStr">
        <is>
          <t xml:space="preserve">PARFAIT </t>
        </is>
      </c>
      <c r="E25" s="9" t="inlineStr">
        <is>
          <t>Littoral</t>
        </is>
      </c>
      <c r="F25" s="9" t="inlineStr">
        <is>
          <t>DOUALA BONANJO</t>
        </is>
      </c>
      <c r="G25" s="9" t="inlineStr">
        <is>
          <t>Lycee Kumassi</t>
        </is>
      </c>
    </row>
    <row r="26">
      <c r="A26" s="17" t="inlineStr">
        <is>
          <t>Sortie</t>
        </is>
      </c>
      <c r="B26" s="9" t="inlineStr">
        <is>
          <t>DEMBA DIALLO</t>
        </is>
      </c>
      <c r="C26" s="9" t="n">
        <v>670079395</v>
      </c>
      <c r="D26" s="9" t="inlineStr">
        <is>
          <t xml:space="preserve">PARFAIT </t>
        </is>
      </c>
      <c r="E26" s="9" t="inlineStr">
        <is>
          <t>Littoral</t>
        </is>
      </c>
      <c r="F26" s="9" t="inlineStr">
        <is>
          <t>DOUALA BONANJO</t>
        </is>
      </c>
      <c r="G26" s="9" t="inlineStr">
        <is>
          <t>Douala Bali</t>
        </is>
      </c>
    </row>
    <row r="27">
      <c r="A27" s="17" t="inlineStr">
        <is>
          <t>Sortie</t>
        </is>
      </c>
      <c r="B27" s="9" t="inlineStr">
        <is>
          <t>GUESSELE ALAKA ALBARKA GN SARL</t>
        </is>
      </c>
      <c r="C27" s="9" t="n">
        <v>678796963</v>
      </c>
      <c r="D27" s="9" t="inlineStr">
        <is>
          <t xml:space="preserve">PARFAIT </t>
        </is>
      </c>
      <c r="E27" s="9" t="inlineStr">
        <is>
          <t>Littoral</t>
        </is>
      </c>
      <c r="F27" s="9" t="inlineStr">
        <is>
          <t>DOUALA BONANJO</t>
        </is>
      </c>
      <c r="G27" s="9" t="inlineStr">
        <is>
          <t>Lycee Kumassi</t>
        </is>
      </c>
    </row>
    <row r="29">
      <c r="A29" s="15" t="inlineStr">
        <is>
          <t>3.2-MVC-Risque inactivité  (entrées : 0  |  sorties : 12)</t>
        </is>
      </c>
    </row>
    <row r="30">
      <c r="A30" s="14" t="inlineStr">
        <is>
          <t>Mouvement</t>
        </is>
      </c>
      <c r="B30" s="14" t="inlineStr">
        <is>
          <t>Agent (POS)</t>
        </is>
      </c>
      <c r="C30" s="14" t="inlineStr">
        <is>
          <t>Téléphone</t>
        </is>
      </c>
      <c r="D30" s="14" t="inlineStr">
        <is>
          <t>DSM</t>
        </is>
      </c>
      <c r="E30" s="14" t="inlineStr">
        <is>
          <t>Région</t>
        </is>
      </c>
      <c r="F30" s="14" t="inlineStr">
        <is>
          <t>Territoire</t>
        </is>
      </c>
      <c r="G30" s="14" t="inlineStr">
        <is>
          <t>Site</t>
        </is>
      </c>
    </row>
    <row r="31">
      <c r="A31" s="17" t="inlineStr">
        <is>
          <t>Sortie</t>
        </is>
      </c>
      <c r="B31" s="9" t="inlineStr">
        <is>
          <t>WINNIE VANESSA MINGO BOUADJEU</t>
        </is>
      </c>
      <c r="C31" s="9" t="n">
        <v>683620457</v>
      </c>
      <c r="D31" s="9" t="inlineStr">
        <is>
          <t>ERVE</t>
        </is>
      </c>
      <c r="E31" s="9" t="inlineStr">
        <is>
          <t>Littoral</t>
        </is>
      </c>
      <c r="F31" s="9" t="inlineStr">
        <is>
          <t>DOUALA BONANJO</t>
        </is>
      </c>
      <c r="G31" s="9" t="inlineStr">
        <is>
          <t>Douala Bali</t>
        </is>
      </c>
    </row>
    <row r="32">
      <c r="A32" s="17" t="inlineStr">
        <is>
          <t>Sortie</t>
        </is>
      </c>
      <c r="B32" s="9" t="inlineStr">
        <is>
          <t>BENKEU WINDOLINE ALBARKA GN SARL</t>
        </is>
      </c>
      <c r="C32" s="9" t="n">
        <v>674273110</v>
      </c>
      <c r="D32" s="9" t="inlineStr">
        <is>
          <t> </t>
        </is>
      </c>
      <c r="E32" s="9" t="inlineStr">
        <is>
          <t>Littoral</t>
        </is>
      </c>
      <c r="F32" s="9" t="inlineStr">
        <is>
          <t>DOUALA BONANJO</t>
        </is>
      </c>
      <c r="G32" s="9" t="inlineStr">
        <is>
          <t>Douala Bali</t>
        </is>
      </c>
    </row>
    <row r="33">
      <c r="A33" s="17" t="inlineStr">
        <is>
          <t>Sortie</t>
        </is>
      </c>
      <c r="B33" s="9" t="inlineStr">
        <is>
          <t>STELLA LEH NGONG</t>
        </is>
      </c>
      <c r="C33" s="9" t="n">
        <v>683745540</v>
      </c>
      <c r="D33" s="9" t="inlineStr">
        <is>
          <t>STEPHANE</t>
        </is>
      </c>
      <c r="E33" s="9" t="inlineStr">
        <is>
          <t>Littoral</t>
        </is>
      </c>
      <c r="F33" s="9" t="inlineStr">
        <is>
          <t>DOUALA BONANJO</t>
        </is>
      </c>
      <c r="G33" s="9" t="inlineStr">
        <is>
          <t>Akwa Camtel New</t>
        </is>
      </c>
    </row>
    <row r="34">
      <c r="A34" s="17" t="inlineStr">
        <is>
          <t>Sortie</t>
        </is>
      </c>
      <c r="B34" s="9" t="inlineStr">
        <is>
          <t>HERNESTINE BILEBI A SOMBA</t>
        </is>
      </c>
      <c r="C34" s="9" t="n">
        <v>650335407</v>
      </c>
      <c r="D34" s="9" t="inlineStr">
        <is>
          <t xml:space="preserve">PARFAIT </t>
        </is>
      </c>
      <c r="E34" s="9" t="inlineStr">
        <is>
          <t>Littoral</t>
        </is>
      </c>
      <c r="F34" s="9" t="inlineStr">
        <is>
          <t>DOUALA BONANJO</t>
        </is>
      </c>
      <c r="G34" s="9" t="inlineStr">
        <is>
          <t>Douala Bali3</t>
        </is>
      </c>
    </row>
    <row r="35">
      <c r="A35" s="17" t="inlineStr">
        <is>
          <t>Sortie</t>
        </is>
      </c>
      <c r="B35" s="9" t="inlineStr">
        <is>
          <t>SYLVIE MEFIRE NJITARI</t>
        </is>
      </c>
      <c r="C35" s="9" t="n">
        <v>674907250</v>
      </c>
      <c r="D35" s="9" t="inlineStr">
        <is>
          <t xml:space="preserve">PARFAIT </t>
        </is>
      </c>
      <c r="E35" s="9" t="inlineStr">
        <is>
          <t>Littoral</t>
        </is>
      </c>
      <c r="F35" s="9" t="inlineStr">
        <is>
          <t>DOUALA BONANJO</t>
        </is>
      </c>
      <c r="G35" s="9" t="inlineStr">
        <is>
          <t>Douala Bali3</t>
        </is>
      </c>
    </row>
    <row r="36">
      <c r="A36" s="17" t="inlineStr">
        <is>
          <t>Sortie</t>
        </is>
      </c>
      <c r="B36" s="9" t="inlineStr">
        <is>
          <t>ODILE LEUMENI PEUMBANJI</t>
        </is>
      </c>
      <c r="C36" s="9" t="n">
        <v>674888913</v>
      </c>
      <c r="D36" s="9" t="inlineStr">
        <is>
          <t xml:space="preserve">PARFAIT </t>
        </is>
      </c>
      <c r="E36" s="9" t="inlineStr">
        <is>
          <t>Littoral</t>
        </is>
      </c>
      <c r="F36" s="9" t="inlineStr">
        <is>
          <t>DOUALA BONANJO</t>
        </is>
      </c>
      <c r="G36" s="9" t="inlineStr">
        <is>
          <t>Douala Bali2</t>
        </is>
      </c>
    </row>
    <row r="37">
      <c r="A37" s="17" t="inlineStr">
        <is>
          <t>Sortie</t>
        </is>
      </c>
      <c r="B37" s="9" t="inlineStr">
        <is>
          <t>TCHOUADJUI DEUTOU GHISLAIN ELIANE TOP MOBIL TELECOM</t>
        </is>
      </c>
      <c r="C37" s="9" t="n">
        <v>681216832</v>
      </c>
      <c r="D37" s="9" t="inlineStr">
        <is>
          <t> </t>
        </is>
      </c>
      <c r="E37" s="9" t="inlineStr">
        <is>
          <t>Littoral</t>
        </is>
      </c>
      <c r="F37" s="9" t="inlineStr">
        <is>
          <t>DOUALA BASSA</t>
        </is>
      </c>
      <c r="G37" s="9" t="inlineStr">
        <is>
          <t>Agape Ocm</t>
        </is>
      </c>
    </row>
    <row r="38">
      <c r="A38" s="17" t="inlineStr">
        <is>
          <t>Sortie</t>
        </is>
      </c>
      <c r="B38" s="9" t="inlineStr">
        <is>
          <t>MARIE COLETTE MONKAM EPSE KAMENI NGUEUTCHEU</t>
        </is>
      </c>
      <c r="C38" s="9" t="n">
        <v>670307094</v>
      </c>
      <c r="D38" s="9" t="inlineStr">
        <is>
          <t xml:space="preserve">PARFAIT </t>
        </is>
      </c>
      <c r="E38" s="9" t="inlineStr">
        <is>
          <t>Littoral</t>
        </is>
      </c>
      <c r="F38" s="9" t="inlineStr">
        <is>
          <t>DOUALA BONANJO</t>
        </is>
      </c>
      <c r="G38" s="9" t="inlineStr">
        <is>
          <t>Lycee Kumassi</t>
        </is>
      </c>
    </row>
    <row r="39">
      <c r="A39" s="17" t="inlineStr">
        <is>
          <t>Sortie</t>
        </is>
      </c>
      <c r="B39" s="9" t="inlineStr">
        <is>
          <t>DTEZINGANG TEKEU FLORENTIN DUPLEX ETS MOBILE FINANCIAL SERVICES MFS</t>
        </is>
      </c>
      <c r="C39" s="9" t="n">
        <v>674515191</v>
      </c>
      <c r="D39" s="9" t="inlineStr">
        <is>
          <t>FRANCK</t>
        </is>
      </c>
      <c r="E39" s="9" t="inlineStr">
        <is>
          <t>Littoral</t>
        </is>
      </c>
      <c r="F39" s="9" t="inlineStr">
        <is>
          <t>DOUALA BONANJO</t>
        </is>
      </c>
      <c r="G39" s="9" t="inlineStr">
        <is>
          <t>Spectrum Bonanjo</t>
        </is>
      </c>
    </row>
    <row r="40">
      <c r="A40" s="17" t="inlineStr">
        <is>
          <t>Sortie</t>
        </is>
      </c>
      <c r="B40" s="9" t="inlineStr">
        <is>
          <t>GODEFROY SIMPLICE NGUEMINI</t>
        </is>
      </c>
      <c r="C40" s="9" t="n">
        <v>676715829</v>
      </c>
      <c r="D40" s="9" t="inlineStr">
        <is>
          <t xml:space="preserve">PARFAIT </t>
        </is>
      </c>
      <c r="E40" s="9" t="inlineStr">
        <is>
          <t>Littoral</t>
        </is>
      </c>
      <c r="F40" s="9" t="inlineStr">
        <is>
          <t>DOUALA BONANJO</t>
        </is>
      </c>
      <c r="G40" s="9" t="inlineStr">
        <is>
          <t>Bonadibong</t>
        </is>
      </c>
    </row>
    <row r="41">
      <c r="A41" s="17" t="inlineStr">
        <is>
          <t>Sortie</t>
        </is>
      </c>
      <c r="B41" s="9" t="inlineStr">
        <is>
          <t>ALBARKA GN 146</t>
        </is>
      </c>
      <c r="C41" s="9" t="n">
        <v>681765201</v>
      </c>
      <c r="D41" s="9" t="inlineStr">
        <is>
          <t>ANTOINE</t>
        </is>
      </c>
      <c r="E41" s="9" t="inlineStr">
        <is>
          <t>Littoral</t>
        </is>
      </c>
      <c r="F41" s="9" t="inlineStr">
        <is>
          <t>DOUALA BONANJO</t>
        </is>
      </c>
      <c r="G41" s="9" t="inlineStr">
        <is>
          <t>Tropicana Hotel Arcade</t>
        </is>
      </c>
    </row>
    <row r="42">
      <c r="A42" s="17" t="inlineStr">
        <is>
          <t>Sortie</t>
        </is>
      </c>
      <c r="B42" s="9" t="inlineStr">
        <is>
          <t>KENNE KUETE EPSE FAYAHNH CAROLINE LTDLA_POLAS_BTQ_</t>
        </is>
      </c>
      <c r="C42" s="9" t="n">
        <v>670035842</v>
      </c>
      <c r="D42" s="9" t="inlineStr">
        <is>
          <t>PROSPER</t>
        </is>
      </c>
      <c r="E42" s="9" t="inlineStr">
        <is>
          <t>Littoral</t>
        </is>
      </c>
      <c r="F42" s="9" t="inlineStr">
        <is>
          <t>DOUALA BONANJO</t>
        </is>
      </c>
      <c r="G42" s="9" t="inlineStr">
        <is>
          <t>Bonanjo Sitabac</t>
        </is>
      </c>
    </row>
    <row r="44">
      <c r="A44" s="15" t="inlineStr">
        <is>
          <t>3.3-LVC-Risque inactivité  (entrées : 0  |  sorties : 5)</t>
        </is>
      </c>
    </row>
    <row r="45">
      <c r="A45" s="14" t="inlineStr">
        <is>
          <t>Mouvement</t>
        </is>
      </c>
      <c r="B45" s="14" t="inlineStr">
        <is>
          <t>Agent (POS)</t>
        </is>
      </c>
      <c r="C45" s="14" t="inlineStr">
        <is>
          <t>Téléphone</t>
        </is>
      </c>
      <c r="D45" s="14" t="inlineStr">
        <is>
          <t>DSM</t>
        </is>
      </c>
      <c r="E45" s="14" t="inlineStr">
        <is>
          <t>Région</t>
        </is>
      </c>
      <c r="F45" s="14" t="inlineStr">
        <is>
          <t>Territoire</t>
        </is>
      </c>
      <c r="G45" s="14" t="inlineStr">
        <is>
          <t>Site</t>
        </is>
      </c>
    </row>
    <row r="46">
      <c r="A46" s="17" t="inlineStr">
        <is>
          <t>Sortie</t>
        </is>
      </c>
      <c r="B46" s="9" t="inlineStr">
        <is>
          <t>ASSONGFACK Diane nudo flore _CHIC MOBILE</t>
        </is>
      </c>
      <c r="C46" s="9" t="n">
        <v>651590527</v>
      </c>
      <c r="D46" s="9" t="inlineStr">
        <is>
          <t> </t>
        </is>
      </c>
      <c r="E46" s="9" t="inlineStr">
        <is>
          <t>Littoral</t>
        </is>
      </c>
      <c r="F46" s="9" t="inlineStr">
        <is>
          <t>DOUALA NYALLA</t>
        </is>
      </c>
      <c r="G46" s="9" t="inlineStr">
        <is>
          <t>Yatchieka Chefferie</t>
        </is>
      </c>
    </row>
    <row r="47">
      <c r="A47" s="17" t="inlineStr">
        <is>
          <t>Sortie</t>
        </is>
      </c>
      <c r="B47" s="9" t="inlineStr">
        <is>
          <t>DOUKOHOU OURBANI N A ALBARKA GN SARL</t>
        </is>
      </c>
      <c r="C47" s="9" t="n">
        <v>681948964</v>
      </c>
      <c r="D47" s="9" t="inlineStr">
        <is>
          <t> </t>
        </is>
      </c>
      <c r="E47" s="9" t="inlineStr">
        <is>
          <t>Littoral</t>
        </is>
      </c>
      <c r="F47" s="9" t="inlineStr">
        <is>
          <t>DOUALA BONANJO</t>
        </is>
      </c>
      <c r="G47" s="9" t="inlineStr">
        <is>
          <t>Douala Bali2</t>
        </is>
      </c>
    </row>
    <row r="48">
      <c r="A48" s="17" t="inlineStr">
        <is>
          <t>Sortie</t>
        </is>
      </c>
      <c r="B48" s="9" t="inlineStr">
        <is>
          <t>GUAMGNE FOTSO FLORINE CARIDE TOP MOBIL TELECOM</t>
        </is>
      </c>
      <c r="C48" s="9" t="n">
        <v>677190844</v>
      </c>
      <c r="D48" s="9" t="inlineStr">
        <is>
          <t>STEPHANE</t>
        </is>
      </c>
      <c r="E48" s="9" t="inlineStr">
        <is>
          <t>Littoral</t>
        </is>
      </c>
      <c r="F48" s="9" t="inlineStr">
        <is>
          <t>DOUALA VILLAGE</t>
        </is>
      </c>
      <c r="G48" s="9" t="inlineStr">
        <is>
          <t>Ndogpassi 3 Ocm</t>
        </is>
      </c>
    </row>
    <row r="49">
      <c r="A49" s="17" t="inlineStr">
        <is>
          <t>Sortie</t>
        </is>
      </c>
      <c r="B49" s="9" t="inlineStr">
        <is>
          <t>ANNE MIREILLE OTH</t>
        </is>
      </c>
      <c r="C49" s="9" t="n">
        <v>674843958</v>
      </c>
      <c r="D49" s="9" t="inlineStr">
        <is>
          <t xml:space="preserve">PARFAIT </t>
        </is>
      </c>
      <c r="E49" s="9" t="inlineStr">
        <is>
          <t>Littoral</t>
        </is>
      </c>
      <c r="F49" s="9" t="inlineStr">
        <is>
          <t>DOUALA NYALLA</t>
        </is>
      </c>
      <c r="G49" s="9" t="inlineStr">
        <is>
          <t>Ndogpassi Ii</t>
        </is>
      </c>
    </row>
    <row r="50">
      <c r="A50" s="17" t="inlineStr">
        <is>
          <t>Sortie</t>
        </is>
      </c>
      <c r="B50" s="9" t="inlineStr">
        <is>
          <t>GABDAI DOUGOU</t>
        </is>
      </c>
      <c r="C50" s="9" t="n">
        <v>673082090</v>
      </c>
      <c r="D50" s="9" t="inlineStr">
        <is>
          <t xml:space="preserve">PARFAIT </t>
        </is>
      </c>
      <c r="E50" s="9" t="inlineStr">
        <is>
          <t>Littoral</t>
        </is>
      </c>
      <c r="F50" s="9" t="inlineStr">
        <is>
          <t>DOUALA BONANJO</t>
        </is>
      </c>
      <c r="G50" s="9" t="inlineStr">
        <is>
          <t>Douala Bali3</t>
        </is>
      </c>
    </row>
  </sheetData>
  <mergeCells count="6">
    <mergeCell ref="A44:G44"/>
    <mergeCell ref="A17:G17"/>
    <mergeCell ref="A9:G9"/>
    <mergeCell ref="A4:G4"/>
    <mergeCell ref="A29:G2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2026-08-17T09:08:34Z</dcterms:created>
  <dcterms:modified xsi:type="dcterms:W3CDTF">2026-08-17T09:08:34Z</dcterms:modified>
</cp:coreProperties>
</file>